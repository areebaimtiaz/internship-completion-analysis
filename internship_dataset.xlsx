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b\Downloads\"/>
    </mc:Choice>
  </mc:AlternateContent>
  <xr:revisionPtr revIDLastSave="0" documentId="8_{C58A23B1-14EC-4437-A417-92AF511009B2}" xr6:coauthVersionLast="47" xr6:coauthVersionMax="47" xr10:uidLastSave="{00000000-0000-0000-0000-000000000000}"/>
  <bookViews>
    <workbookView xWindow="-120" yWindow="-120" windowWidth="20730" windowHeight="11160" activeTab="1" xr2:uid="{57EA3E03-F49F-460C-822B-1FB1AB46E4C7}"/>
  </bookViews>
  <sheets>
    <sheet name="Sheet1" sheetId="2" r:id="rId1"/>
    <sheet name="internship_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C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<sst xmlns="http://schemas.openxmlformats.org/spreadsheetml/2006/main" count="59" uniqueCount="37">
  <si>
    <t>Department</t>
  </si>
  <si>
    <t>Enrolled</t>
  </si>
  <si>
    <t>Completed</t>
  </si>
  <si>
    <t>Dropped</t>
  </si>
  <si>
    <t>Duration (weeks)</t>
  </si>
  <si>
    <t>Mentor Interaction</t>
  </si>
  <si>
    <t>Web Dev</t>
  </si>
  <si>
    <t>High</t>
  </si>
  <si>
    <t>Data Science</t>
  </si>
  <si>
    <t>Medium</t>
  </si>
  <si>
    <t>Marketing</t>
  </si>
  <si>
    <t>Low</t>
  </si>
  <si>
    <t>Graphic Design</t>
  </si>
  <si>
    <t>AI</t>
  </si>
  <si>
    <t>Machine Learning</t>
  </si>
  <si>
    <t>Cyber Security</t>
  </si>
  <si>
    <t>Cloud Computing</t>
  </si>
  <si>
    <t>UI/UX Design</t>
  </si>
  <si>
    <t>Content Writing</t>
  </si>
  <si>
    <t>SEO</t>
  </si>
  <si>
    <t>E-commerce</t>
  </si>
  <si>
    <t>App Development</t>
  </si>
  <si>
    <t>Blockchain</t>
  </si>
  <si>
    <t>Game Development</t>
  </si>
  <si>
    <t>Data Analysis</t>
  </si>
  <si>
    <t>DevOps</t>
  </si>
  <si>
    <t>Networking</t>
  </si>
  <si>
    <t>Software Testing</t>
  </si>
  <si>
    <t>AR/VR</t>
  </si>
  <si>
    <t>Sum of Enrolled</t>
  </si>
  <si>
    <t>Completion Rate</t>
  </si>
  <si>
    <t>Total Completed:</t>
  </si>
  <si>
    <t>Total Dropped:</t>
  </si>
  <si>
    <t>High mentor interaction → higher completion (AI, ML, Cloud)</t>
  </si>
  <si>
    <t>Low interaction → more dropouts (Marketing, Content Writing)</t>
  </si>
  <si>
    <t>Longer duration (10–12 weeks) → better completion</t>
  </si>
  <si>
    <t>Technical fields perform better than creative/marketing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</si>
</sst>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9" fillId="0" borderId="0" xfId="0" applyFont="1" applyAlignment="1">
      <alignment vertical="center"/>
    </xf>
    <xf numFmtId="10" fontId="18" fillId="0" borderId="0" xfId="1" applyNumberFormat="1" applyFont="1" applyAlignment="1">
      <alignment vertical="center"/>
    </xf>
    <xf numFmtId="0" fontId="18" fillId="0" borderId="0" xfId="0" applyFont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[internship_dataset.xlsx]Sheet1!PivotTable13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/>
              <a:t>Sum of Enrolled by Mentor Interaction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715</c:v>
                </c:pt>
                <c:pt idx="1">
                  <c:v>253</c:v>
                </c:pt>
                <c:pt idx="2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3-459D-92A0-BE22B734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805008"/>
        <c:axId val="1545801648"/>
      </c:barChart>
      <c:catAx>
        <c:axId val="154580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45801648"/>
        <c:crosses val="autoZero"/>
        <c:auto val="1"/>
        <c:lblAlgn val="ctr"/>
        <c:lblOffset val="100"/>
        <c:noMultiLvlLbl val="0"/>
      </c:catAx>
      <c:valAx>
        <c:axId val="15458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4580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Completed per Department</a:t>
            </a:r>
          </a:p>
        </c:rich>
      </c:tx>
      <c:layout>
        <c:manualLayout>
          <c:xMode val="edge"/>
          <c:yMode val="edge"/>
          <c:x val="0.17660680055442507"/>
          <c:y val="2.640264026402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internship_dataset!$C$1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internship_dataset!$A$2:$A$21</c:f>
              <c:strCache>
                <c:ptCount val="20"/>
                <c:pt idx="0">
                  <c:v>Web Dev</c:v>
                </c:pt>
                <c:pt idx="1">
                  <c:v>Data Science</c:v>
                </c:pt>
                <c:pt idx="2">
                  <c:v>Marketing</c:v>
                </c:pt>
                <c:pt idx="3">
                  <c:v>Graphic Design</c:v>
                </c:pt>
                <c:pt idx="4">
                  <c:v>AI</c:v>
                </c:pt>
                <c:pt idx="5">
                  <c:v>Machine Learning</c:v>
                </c:pt>
                <c:pt idx="6">
                  <c:v>Cyber Security</c:v>
                </c:pt>
                <c:pt idx="7">
                  <c:v>Cloud Computing</c:v>
                </c:pt>
                <c:pt idx="8">
                  <c:v>UI/UX Design</c:v>
                </c:pt>
                <c:pt idx="9">
                  <c:v>Content Writing</c:v>
                </c:pt>
                <c:pt idx="10">
                  <c:v>SEO</c:v>
                </c:pt>
                <c:pt idx="11">
                  <c:v>E-commerce</c:v>
                </c:pt>
                <c:pt idx="12">
                  <c:v>App Development</c:v>
                </c:pt>
                <c:pt idx="13">
                  <c:v>Blockchain</c:v>
                </c:pt>
                <c:pt idx="14">
                  <c:v>Game Development</c:v>
                </c:pt>
                <c:pt idx="15">
                  <c:v>Data Analysis</c:v>
                </c:pt>
                <c:pt idx="16">
                  <c:v>DevOps</c:v>
                </c:pt>
                <c:pt idx="17">
                  <c:v>Networking</c:v>
                </c:pt>
                <c:pt idx="18">
                  <c:v>Software Testing</c:v>
                </c:pt>
                <c:pt idx="19">
                  <c:v>AR/VR</c:v>
                </c:pt>
              </c:strCache>
            </c:strRef>
          </c:cat>
          <c:val>
            <c:numRef>
              <c:f>internship_dataset!$C$2:$C$21</c:f>
              <c:numCache>
                <c:formatCode>General</c:formatCode>
                <c:ptCount val="20"/>
                <c:pt idx="0">
                  <c:v>80</c:v>
                </c:pt>
                <c:pt idx="1">
                  <c:v>90</c:v>
                </c:pt>
                <c:pt idx="2">
                  <c:v>60</c:v>
                </c:pt>
                <c:pt idx="3">
                  <c:v>50</c:v>
                </c:pt>
                <c:pt idx="4">
                  <c:v>95</c:v>
                </c:pt>
                <c:pt idx="5">
                  <c:v>92</c:v>
                </c:pt>
                <c:pt idx="6">
                  <c:v>65</c:v>
                </c:pt>
                <c:pt idx="7">
                  <c:v>75</c:v>
                </c:pt>
                <c:pt idx="8">
                  <c:v>58</c:v>
                </c:pt>
                <c:pt idx="9">
                  <c:v>50</c:v>
                </c:pt>
                <c:pt idx="10">
                  <c:v>62</c:v>
                </c:pt>
                <c:pt idx="11">
                  <c:v>70</c:v>
                </c:pt>
                <c:pt idx="12">
                  <c:v>85</c:v>
                </c:pt>
                <c:pt idx="13">
                  <c:v>60</c:v>
                </c:pt>
                <c:pt idx="14">
                  <c:v>64</c:v>
                </c:pt>
                <c:pt idx="15">
                  <c:v>88</c:v>
                </c:pt>
                <c:pt idx="16">
                  <c:v>72</c:v>
                </c:pt>
                <c:pt idx="17">
                  <c:v>66</c:v>
                </c:pt>
                <c:pt idx="18">
                  <c:v>70</c:v>
                </c:pt>
                <c:pt idx="1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466D-84C1-85A38D31F4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6124400"/>
        <c:axId val="1436122000"/>
      </c:barChart>
      <c:catAx>
        <c:axId val="143612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36122000"/>
        <c:crosses val="autoZero"/>
        <c:auto val="1"/>
        <c:lblAlgn val="ctr"/>
        <c:lblOffset val="100"/>
        <c:noMultiLvlLbl val="0"/>
      </c:catAx>
      <c:valAx>
        <c:axId val="1436122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3612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Completed vs Dropped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internship_dataset!$A$23:$A$24</c:f>
              <c:strCache>
                <c:ptCount val="2"/>
                <c:pt idx="0">
                  <c:v>Total Completed:</c:v>
                </c:pt>
                <c:pt idx="1">
                  <c:v>Total Dropped:</c:v>
                </c:pt>
              </c:strCache>
            </c:strRef>
          </c:cat>
          <c:val>
            <c:numRef>
              <c:f>internship_dataset!$C$23:$C$24</c:f>
              <c:numCache>
                <c:formatCode>General</c:formatCode>
                <c:ptCount val="2"/>
                <c:pt idx="0">
                  <c:v>1410</c:v>
                </c:pt>
                <c:pt idx="1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6-46C7-9111-5444ED36A7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0428959"/>
        <c:axId val="1030434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internship_dataset!$A$23:$A$24</c15:sqref>
                        </c15:formulaRef>
                      </c:ext>
                    </c:extLst>
                    <c:strCache>
                      <c:ptCount val="2"/>
                      <c:pt idx="0">
                        <c:v>Total Completed:</c:v>
                      </c:pt>
                      <c:pt idx="1">
                        <c:v>Total Dropped: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internship_dataset!$B$23:$B$24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5B6-46C7-9111-5444ED36A7CF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internship_dataset!$A$23:$A$24</c15:sqref>
                        </c15:formulaRef>
                      </c:ext>
                    </c:extLst>
                    <c:strCache>
                      <c:ptCount val="2"/>
                      <c:pt idx="0">
                        <c:v>Total Completed:</c:v>
                      </c:pt>
                      <c:pt idx="1">
                        <c:v>Total Dropped: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internship_dataset!$D$23:$D$24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B6-46C7-9111-5444ED36A7CF}"/>
                  </c:ext>
                </c:extLst>
              </c15:ser>
            </c15:filteredBarSeries>
          </c:ext>
        </c:extLst>
      </c:barChart>
      <c:catAx>
        <c:axId val="103042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0434239"/>
        <c:crosses val="autoZero"/>
        <c:auto val="1"/>
        <c:lblAlgn val="ctr"/>
        <c:lblOffset val="100"/>
        <c:noMultiLvlLbl val="0"/>
      </c:catAx>
      <c:valAx>
        <c:axId val="1030434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042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Completed</a:t>
            </a:r>
            <a:r>
              <a:rPr lang="en-US" baseline="0"/>
              <a:t> in Duration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4.1364829396325475E-3"/>
          <c:y val="0.29671296296296296"/>
          <c:w val="0.8903079615048119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internship_dataset!$C$1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internship_dataset!$C$2:$C$22</c:f>
              <c:numCache>
                <c:formatCode>General</c:formatCode>
                <c:ptCount val="21"/>
                <c:pt idx="0">
                  <c:v>80</c:v>
                </c:pt>
                <c:pt idx="1">
                  <c:v>90</c:v>
                </c:pt>
                <c:pt idx="2">
                  <c:v>60</c:v>
                </c:pt>
                <c:pt idx="3">
                  <c:v>50</c:v>
                </c:pt>
                <c:pt idx="4">
                  <c:v>95</c:v>
                </c:pt>
                <c:pt idx="5">
                  <c:v>92</c:v>
                </c:pt>
                <c:pt idx="6">
                  <c:v>65</c:v>
                </c:pt>
                <c:pt idx="7">
                  <c:v>75</c:v>
                </c:pt>
                <c:pt idx="8">
                  <c:v>58</c:v>
                </c:pt>
                <c:pt idx="9">
                  <c:v>50</c:v>
                </c:pt>
                <c:pt idx="10">
                  <c:v>62</c:v>
                </c:pt>
                <c:pt idx="11">
                  <c:v>70</c:v>
                </c:pt>
                <c:pt idx="12">
                  <c:v>85</c:v>
                </c:pt>
                <c:pt idx="13">
                  <c:v>60</c:v>
                </c:pt>
                <c:pt idx="14">
                  <c:v>64</c:v>
                </c:pt>
                <c:pt idx="15">
                  <c:v>88</c:v>
                </c:pt>
                <c:pt idx="16">
                  <c:v>72</c:v>
                </c:pt>
                <c:pt idx="17">
                  <c:v>66</c:v>
                </c:pt>
                <c:pt idx="18">
                  <c:v>70</c:v>
                </c:pt>
                <c:pt idx="1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F-43CB-B923-632D6AE64337}"/>
            </c:ext>
          </c:extLst>
        </c:ser>
        <c:ser>
          <c:idx val="1"/>
          <c:order val="1"/>
          <c:tx>
            <c:strRef>
              <c:f>internship_dataset!$E$1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internship_dataset!$E$2:$E$24</c:f>
              <c:numCache>
                <c:formatCode>General</c:formatCode>
                <c:ptCount val="23"/>
                <c:pt idx="0">
                  <c:v>8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10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F-43CB-B923-632D6AE643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1366671"/>
        <c:axId val="1491356591"/>
      </c:barChart>
      <c:catAx>
        <c:axId val="149136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91356591"/>
        <c:crosses val="autoZero"/>
        <c:auto val="1"/>
        <c:lblAlgn val="ctr"/>
        <c:lblOffset val="100"/>
        <c:noMultiLvlLbl val="0"/>
      </c:catAx>
      <c:valAx>
        <c:axId val="1491356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13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Completed vs Dropped</a:t>
            </a:r>
            <a:endParaRPr lang="en-PK"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26800721784776904"/>
          <c:y val="0.18560185185185185"/>
          <c:w val="0.40287467191601051"/>
          <c:h val="0.6714577865266842"/>
        </c:manualLayout>
      </c:layout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5-4FB7-A3B9-8D6A9EFB2B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5-4FB7-A3B9-8D6A9EFB2B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5-4FB7-A3B9-8D6A9EFB2B1F}"/>
              </c:ext>
            </c:extLst>
          </c:dPt>
          <c:cat>
            <c:strRef>
              <c:f>internship_dataset!$A$22:$A$24</c:f>
              <c:strCache>
                <c:ptCount val="3"/>
                <c:pt idx="1">
                  <c:v>Total Completed:</c:v>
                </c:pt>
                <c:pt idx="2">
                  <c:v>Total Dropped:</c:v>
                </c:pt>
              </c:strCache>
            </c:strRef>
          </c:cat>
          <c:val>
            <c:numRef>
              <c:f>internship_dataset!$C$22:$C$24</c:f>
              <c:numCache>
                <c:formatCode>General</c:formatCode>
                <c:ptCount val="3"/>
                <c:pt idx="1">
                  <c:v>1410</c:v>
                </c:pt>
                <c:pt idx="2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C-4072-A6EE-49CF80FB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0CA5-4FB7-A3B9-8D6A9EFB2B1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0CA5-4FB7-A3B9-8D6A9EFB2B1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0CA5-4FB7-A3B9-8D6A9EFB2B1F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internship_dataset!$A$22:$A$24</c15:sqref>
                        </c15:formulaRef>
                      </c:ext>
                    </c:extLst>
                    <c:strCache>
                      <c:ptCount val="3"/>
                      <c:pt idx="1">
                        <c:v>Total Completed:</c:v>
                      </c:pt>
                      <c:pt idx="2">
                        <c:v>Total Dropped: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internship_dataset!$B$22:$B$24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48C-4072-A6EE-49CF80FB4584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4</xdr:row>
      <xdr:rowOff>0</xdr:rowOff>
    </xdr:from>
    <xdr:to>
      <xdr:col>11</xdr:col>
      <xdr:colOff>4762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083C8-6E01-8A92-ADBE-A77B61895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645420</xdr:colOff>
      <xdr:row>23</xdr:row>
      <xdr:rowOff>147016</xdr:rowOff>
    </xdr:from>
    <xdr:to>
      <xdr:col>12</xdr:col>
      <xdr:colOff>356357</xdr:colOff>
      <xdr:row>38</xdr:row>
      <xdr:rowOff>175591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52B32-6877-093D-B332-922415BF3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40</xdr:row>
      <xdr:rowOff>61912</xdr:rowOff>
    </xdr:from>
    <xdr:to>
      <xdr:col>12</xdr:col>
      <xdr:colOff>133350</xdr:colOff>
      <xdr:row>54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C46E0B-017E-5873-3CB5-601C1AD3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208722</xdr:colOff>
      <xdr:row>24</xdr:row>
      <xdr:rowOff>71437</xdr:rowOff>
    </xdr:from>
    <xdr:to>
      <xdr:col>6</xdr:col>
      <xdr:colOff>215348</xdr:colOff>
      <xdr:row>38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0C9967-492D-8CE0-9558-C0689C2E0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619125</xdr:colOff>
      <xdr:row>40</xdr:row>
      <xdr:rowOff>14287</xdr:rowOff>
    </xdr:from>
    <xdr:to>
      <xdr:col>5</xdr:col>
      <xdr:colOff>733425</xdr:colOff>
      <xdr:row>54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EAB7B0-2085-8B85-A8F1-86D4DDCEA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b" refreshedDate="46142.731385648149" createdVersion="8" refreshedVersion="8" minRefreshableVersion="3" recordCount="20" xr:uid="{BDBE98AC-F515-44EA-BC0A-DBB4F1A1215B}">
  <cacheSource type="worksheet">
    <worksheetSource ref="A1:F21" sheet="internship_dataset"/>
  </cacheSource>
  <cacheFields count="6">
    <cacheField name="Department" numFmtId="0">
      <sharedItems/>
    </cacheField>
    <cacheField name="Enrolled" numFmtId="0">
      <sharedItems containsSemiMixedTypes="0" containsString="0" containsNumber="1" containsInteger="1" minValue="70" maxValue="120"/>
    </cacheField>
    <cacheField name="Completed" numFmtId="0">
      <sharedItems containsSemiMixedTypes="0" containsString="0" containsNumber="1" containsInteger="1" minValue="50" maxValue="95"/>
    </cacheField>
    <cacheField name="Dropped" numFmtId="0">
      <sharedItems containsSemiMixedTypes="0" containsString="0" containsNumber="1" containsInteger="1" minValue="15" maxValue="30"/>
    </cacheField>
    <cacheField name="Duration (weeks)" numFmtId="0">
      <sharedItems containsSemiMixedTypes="0" containsString="0" containsNumber="1" containsInteger="1" minValue="6" maxValue="12"/>
    </cacheField>
    <cacheField name="Mentor Interaction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Web Dev"/>
    <n v="100"/>
    <n v="80"/>
    <n v="20"/>
    <n v="8"/>
    <x v="0"/>
  </r>
  <r>
    <s v="Data Science"/>
    <n v="120"/>
    <n v="90"/>
    <n v="30"/>
    <n v="10"/>
    <x v="1"/>
  </r>
  <r>
    <s v="Marketing"/>
    <n v="90"/>
    <n v="60"/>
    <n v="30"/>
    <n v="6"/>
    <x v="2"/>
  </r>
  <r>
    <s v="Graphic Design"/>
    <n v="70"/>
    <n v="50"/>
    <n v="20"/>
    <n v="7"/>
    <x v="1"/>
  </r>
  <r>
    <s v="AI"/>
    <n v="110"/>
    <n v="95"/>
    <n v="15"/>
    <n v="12"/>
    <x v="0"/>
  </r>
  <r>
    <s v="Machine Learning"/>
    <n v="115"/>
    <n v="92"/>
    <n v="23"/>
    <n v="11"/>
    <x v="0"/>
  </r>
  <r>
    <s v="Cyber Security"/>
    <n v="85"/>
    <n v="65"/>
    <n v="20"/>
    <n v="9"/>
    <x v="1"/>
  </r>
  <r>
    <s v="Cloud Computing"/>
    <n v="95"/>
    <n v="75"/>
    <n v="20"/>
    <n v="10"/>
    <x v="0"/>
  </r>
  <r>
    <s v="UI/UX Design"/>
    <n v="80"/>
    <n v="58"/>
    <n v="22"/>
    <n v="7"/>
    <x v="1"/>
  </r>
  <r>
    <s v="Content Writing"/>
    <n v="75"/>
    <n v="50"/>
    <n v="25"/>
    <n v="6"/>
    <x v="2"/>
  </r>
  <r>
    <s v="SEO"/>
    <n v="88"/>
    <n v="62"/>
    <n v="26"/>
    <n v="7"/>
    <x v="1"/>
  </r>
  <r>
    <s v="E-commerce"/>
    <n v="92"/>
    <n v="70"/>
    <n v="22"/>
    <n v="8"/>
    <x v="1"/>
  </r>
  <r>
    <s v="App Development"/>
    <n v="105"/>
    <n v="85"/>
    <n v="20"/>
    <n v="9"/>
    <x v="0"/>
  </r>
  <r>
    <s v="Blockchain"/>
    <n v="78"/>
    <n v="60"/>
    <n v="18"/>
    <n v="10"/>
    <x v="1"/>
  </r>
  <r>
    <s v="Game Development"/>
    <n v="82"/>
    <n v="64"/>
    <n v="18"/>
    <n v="9"/>
    <x v="0"/>
  </r>
  <r>
    <s v="Data Analysis"/>
    <n v="108"/>
    <n v="88"/>
    <n v="20"/>
    <n v="10"/>
    <x v="0"/>
  </r>
  <r>
    <s v="DevOps"/>
    <n v="90"/>
    <n v="72"/>
    <n v="18"/>
    <n v="9"/>
    <x v="1"/>
  </r>
  <r>
    <s v="Networking"/>
    <n v="85"/>
    <n v="66"/>
    <n v="19"/>
    <n v="8"/>
    <x v="1"/>
  </r>
  <r>
    <s v="Software Testing"/>
    <n v="88"/>
    <n v="70"/>
    <n v="18"/>
    <n v="7"/>
    <x v="2"/>
  </r>
  <r>
    <s v="AR/VR"/>
    <n v="76"/>
    <n v="58"/>
    <n v="18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0EEC7-7C33-454F-AD6F-F17EE3501A5D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 of Enroll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2BDC-ABEE-4567-973B-4744A049E917}">
  <dimension ref="A3:B6"/>
  <sheetViews>
    <sheetView workbookViewId="0">
      <selection activeCell="D11" sqref="D11"/>
    </sheetView>
  </sheetViews>
  <sheetFormatPr defaultRowHeight="15"/>
  <cols>
    <col min="1" max="1" width="17.5703125" bestFit="1" customWidth="1"/>
    <col min="2" max="2" width="13.42578125" bestFit="1" customWidth="1"/>
  </cols>
  <sheetData>
    <row r="3" spans="1:2">
      <c r="A3" s="1" t="s">
        <v>5</v>
      </c>
      <c r="B3" t="s">
        <v>29</v>
      </c>
    </row>
    <row r="4" spans="1:2">
      <c r="A4" t="s">
        <v>7</v>
      </c>
      <c r="B4" s="2">
        <v>715</v>
      </c>
    </row>
    <row r="5" spans="1:2">
      <c r="A5" t="s">
        <v>11</v>
      </c>
      <c r="B5" s="2">
        <v>253</v>
      </c>
    </row>
    <row r="6" spans="1:2">
      <c r="A6" t="s">
        <v>9</v>
      </c>
      <c r="B6" s="2">
        <v>864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B0E0-7747-4D36-8B0B-F88EAD1F178E}">
  <dimension ref="A1:Q29"/>
  <sheetViews>
    <sheetView tabSelected="1" topLeftCell="A22" zoomScale="115" zoomScaleNormal="115" workbookViewId="0">
      <selection activeCell="F25" sqref="F25:G25"/>
    </sheetView>
  </sheetViews>
  <sheetFormatPr defaultRowHeight="15"/>
  <cols>
    <col min="1" max="1" width="17.28515625" customWidth="1"/>
    <col min="3" max="3" width="12.28515625" customWidth="1"/>
    <col min="5" max="5" width="19" customWidth="1"/>
    <col min="6" max="6" width="18.85546875" customWidth="1"/>
    <col min="7" max="7" width="22.140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30</v>
      </c>
    </row>
    <row r="2" spans="1:9">
      <c r="A2" t="s">
        <v>6</v>
      </c>
      <c r="B2">
        <v>100</v>
      </c>
      <c r="C2">
        <v>80</v>
      </c>
      <c r="D2">
        <v>20</v>
      </c>
      <c r="E2">
        <v>8</v>
      </c>
      <c r="F2" t="s">
        <v>7</v>
      </c>
      <c r="G2" s="5">
        <f>C2/B2</f>
        <v>0.8</v>
      </c>
    </row>
    <row r="3" spans="1:9">
      <c r="A3" t="s">
        <v>8</v>
      </c>
      <c r="B3">
        <v>120</v>
      </c>
      <c r="C3">
        <v>90</v>
      </c>
      <c r="D3">
        <v>30</v>
      </c>
      <c r="E3">
        <v>10</v>
      </c>
      <c r="F3" t="s">
        <v>9</v>
      </c>
      <c r="G3" s="5">
        <f t="shared" ref="G3:G21" si="0">C3/B3</f>
        <v>0.75</v>
      </c>
    </row>
    <row r="4" spans="1:9">
      <c r="A4" t="s">
        <v>10</v>
      </c>
      <c r="B4">
        <v>90</v>
      </c>
      <c r="C4">
        <v>60</v>
      </c>
      <c r="D4">
        <v>30</v>
      </c>
      <c r="E4">
        <v>6</v>
      </c>
      <c r="F4" t="s">
        <v>11</v>
      </c>
      <c r="G4" s="5">
        <f t="shared" si="0"/>
        <v>0.66666666666666663</v>
      </c>
    </row>
    <row r="5" spans="1:9">
      <c r="A5" t="s">
        <v>12</v>
      </c>
      <c r="B5">
        <v>70</v>
      </c>
      <c r="C5">
        <v>50</v>
      </c>
      <c r="D5">
        <v>20</v>
      </c>
      <c r="E5">
        <v>7</v>
      </c>
      <c r="F5" t="s">
        <v>9</v>
      </c>
      <c r="G5" s="5">
        <f t="shared" si="0"/>
        <v>0.7142857142857143</v>
      </c>
    </row>
    <row r="6" spans="1:9">
      <c r="A6" t="s">
        <v>13</v>
      </c>
      <c r="B6">
        <v>110</v>
      </c>
      <c r="C6">
        <v>95</v>
      </c>
      <c r="D6">
        <v>15</v>
      </c>
      <c r="E6">
        <v>12</v>
      </c>
      <c r="F6" t="s">
        <v>7</v>
      </c>
      <c r="G6" s="5">
        <f t="shared" si="0"/>
        <v>0.86363636363636365</v>
      </c>
      <c r="I6" t="s">
        <v>33</v>
      </c>
    </row>
    <row r="7" spans="1:9">
      <c r="A7" t="s">
        <v>14</v>
      </c>
      <c r="B7">
        <v>115</v>
      </c>
      <c r="C7">
        <v>92</v>
      </c>
      <c r="D7">
        <v>23</v>
      </c>
      <c r="E7">
        <v>11</v>
      </c>
      <c r="F7" t="s">
        <v>7</v>
      </c>
      <c r="G7" s="5">
        <f t="shared" si="0"/>
        <v>0.8</v>
      </c>
      <c r="I7" t="s">
        <v>34</v>
      </c>
    </row>
    <row r="8" spans="1:9">
      <c r="A8" t="s">
        <v>15</v>
      </c>
      <c r="B8">
        <v>85</v>
      </c>
      <c r="C8">
        <v>65</v>
      </c>
      <c r="D8">
        <v>20</v>
      </c>
      <c r="E8">
        <v>9</v>
      </c>
      <c r="F8" t="s">
        <v>9</v>
      </c>
      <c r="G8" s="5">
        <f t="shared" si="0"/>
        <v>0.76470588235294112</v>
      </c>
      <c r="I8" t="s">
        <v>35</v>
      </c>
    </row>
    <row r="9" spans="1:9">
      <c r="A9" t="s">
        <v>16</v>
      </c>
      <c r="B9">
        <v>95</v>
      </c>
      <c r="C9">
        <v>75</v>
      </c>
      <c r="D9">
        <v>20</v>
      </c>
      <c r="E9">
        <v>10</v>
      </c>
      <c r="F9" t="s">
        <v>7</v>
      </c>
      <c r="G9" s="5">
        <f t="shared" si="0"/>
        <v>0.78947368421052633</v>
      </c>
      <c r="I9" t="s">
        <v>36</v>
      </c>
    </row>
    <row r="10" spans="1:9">
      <c r="A10" t="s">
        <v>17</v>
      </c>
      <c r="B10">
        <v>80</v>
      </c>
      <c r="C10">
        <v>58</v>
      </c>
      <c r="D10">
        <v>22</v>
      </c>
      <c r="E10">
        <v>7</v>
      </c>
      <c r="F10" t="s">
        <v>9</v>
      </c>
      <c r="G10" s="5">
        <f t="shared" si="0"/>
        <v>0.72499999999999998</v>
      </c>
    </row>
    <row r="11" spans="1:9">
      <c r="A11" t="s">
        <v>18</v>
      </c>
      <c r="B11">
        <v>75</v>
      </c>
      <c r="C11">
        <v>50</v>
      </c>
      <c r="D11">
        <v>25</v>
      </c>
      <c r="E11">
        <v>6</v>
      </c>
      <c r="F11" t="s">
        <v>11</v>
      </c>
      <c r="G11" s="5">
        <f t="shared" si="0"/>
        <v>0.66666666666666663</v>
      </c>
    </row>
    <row r="12" spans="1:9">
      <c r="A12" t="s">
        <v>19</v>
      </c>
      <c r="B12">
        <v>88</v>
      </c>
      <c r="C12">
        <v>62</v>
      </c>
      <c r="D12">
        <v>26</v>
      </c>
      <c r="E12">
        <v>7</v>
      </c>
      <c r="F12" t="s">
        <v>9</v>
      </c>
      <c r="G12" s="5">
        <f t="shared" si="0"/>
        <v>0.70454545454545459</v>
      </c>
    </row>
    <row r="13" spans="1:9">
      <c r="A13" t="s">
        <v>20</v>
      </c>
      <c r="B13">
        <v>92</v>
      </c>
      <c r="C13">
        <v>70</v>
      </c>
      <c r="D13">
        <v>22</v>
      </c>
      <c r="E13">
        <v>8</v>
      </c>
      <c r="F13" t="s">
        <v>9</v>
      </c>
      <c r="G13" s="5">
        <f t="shared" si="0"/>
        <v>0.76086956521739135</v>
      </c>
    </row>
    <row r="14" spans="1:9">
      <c r="A14" t="s">
        <v>21</v>
      </c>
      <c r="B14">
        <v>105</v>
      </c>
      <c r="C14">
        <v>85</v>
      </c>
      <c r="D14">
        <v>20</v>
      </c>
      <c r="E14">
        <v>9</v>
      </c>
      <c r="F14" t="s">
        <v>7</v>
      </c>
      <c r="G14" s="5">
        <f t="shared" si="0"/>
        <v>0.80952380952380953</v>
      </c>
    </row>
    <row r="15" spans="1:9">
      <c r="A15" t="s">
        <v>22</v>
      </c>
      <c r="B15">
        <v>78</v>
      </c>
      <c r="C15">
        <v>60</v>
      </c>
      <c r="D15">
        <v>18</v>
      </c>
      <c r="E15">
        <v>10</v>
      </c>
      <c r="F15" t="s">
        <v>9</v>
      </c>
      <c r="G15" s="5">
        <f t="shared" si="0"/>
        <v>0.76923076923076927</v>
      </c>
    </row>
    <row r="16" spans="1:9">
      <c r="A16" t="s">
        <v>23</v>
      </c>
      <c r="B16">
        <v>82</v>
      </c>
      <c r="C16">
        <v>64</v>
      </c>
      <c r="D16">
        <v>18</v>
      </c>
      <c r="E16">
        <v>9</v>
      </c>
      <c r="F16" t="s">
        <v>7</v>
      </c>
      <c r="G16" s="5">
        <f t="shared" si="0"/>
        <v>0.78048780487804881</v>
      </c>
    </row>
    <row r="17" spans="1:17">
      <c r="A17" t="s">
        <v>24</v>
      </c>
      <c r="B17">
        <v>108</v>
      </c>
      <c r="C17">
        <v>88</v>
      </c>
      <c r="D17">
        <v>20</v>
      </c>
      <c r="E17">
        <v>10</v>
      </c>
      <c r="F17" t="s">
        <v>7</v>
      </c>
      <c r="G17" s="5">
        <f t="shared" si="0"/>
        <v>0.81481481481481477</v>
      </c>
    </row>
    <row r="18" spans="1:17">
      <c r="A18" t="s">
        <v>25</v>
      </c>
      <c r="B18">
        <v>90</v>
      </c>
      <c r="C18">
        <v>72</v>
      </c>
      <c r="D18">
        <v>18</v>
      </c>
      <c r="E18">
        <v>9</v>
      </c>
      <c r="F18" t="s">
        <v>9</v>
      </c>
      <c r="G18" s="5">
        <f t="shared" si="0"/>
        <v>0.8</v>
      </c>
    </row>
    <row r="19" spans="1:17">
      <c r="A19" t="s">
        <v>26</v>
      </c>
      <c r="B19">
        <v>85</v>
      </c>
      <c r="C19">
        <v>66</v>
      </c>
      <c r="D19">
        <v>19</v>
      </c>
      <c r="E19">
        <v>8</v>
      </c>
      <c r="F19" t="s">
        <v>9</v>
      </c>
      <c r="G19" s="5">
        <f t="shared" si="0"/>
        <v>0.77647058823529413</v>
      </c>
    </row>
    <row r="20" spans="1:17">
      <c r="A20" t="s">
        <v>27</v>
      </c>
      <c r="B20">
        <v>88</v>
      </c>
      <c r="C20">
        <v>70</v>
      </c>
      <c r="D20">
        <v>18</v>
      </c>
      <c r="E20">
        <v>7</v>
      </c>
      <c r="F20" t="s">
        <v>11</v>
      </c>
      <c r="G20" s="5">
        <f t="shared" si="0"/>
        <v>0.79545454545454541</v>
      </c>
    </row>
    <row r="21" spans="1:17">
      <c r="A21" t="s">
        <v>28</v>
      </c>
      <c r="B21">
        <v>76</v>
      </c>
      <c r="C21">
        <v>58</v>
      </c>
      <c r="D21">
        <v>18</v>
      </c>
      <c r="E21">
        <v>10</v>
      </c>
      <c r="F21" t="s">
        <v>9</v>
      </c>
      <c r="G21" s="5">
        <f t="shared" si="0"/>
        <v>0.76315789473684215</v>
      </c>
    </row>
    <row r="23" spans="1:17">
      <c r="A23" t="s">
        <v>31</v>
      </c>
      <c r="C23" s="6">
        <f>SUM(C2:C21)</f>
        <v>1410</v>
      </c>
    </row>
    <row r="24" spans="1:17">
      <c r="A24" t="s">
        <v>32</v>
      </c>
      <c r="C24" s="6">
        <f>SUM(D2:D21)</f>
        <v>422</v>
      </c>
    </row>
    <row r="29" spans="1:17">
      <c r="Q29" t="s">
        <v>35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internship_dataset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reeb</dc:creator>
  <cp:lastModifiedBy>areeba imtiaz</cp:lastModifiedBy>
  <dcterms:created xsi:type="dcterms:W3CDTF">2026-04-30T16:32:44Z</dcterms:created>
  <dcterms:modified xsi:type="dcterms:W3CDTF">2026-05-01T13:17:03Z</dcterms:modified>
</cp:coreProperties>
</file>